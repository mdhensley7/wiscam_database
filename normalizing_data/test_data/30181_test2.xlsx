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sley/Desktop/wiscam_database/normalizing_data/"/>
    </mc:Choice>
  </mc:AlternateContent>
  <xr:revisionPtr revIDLastSave="0" documentId="8_{E526DA90-62E3-E34E-9338-826ACED568E6}" xr6:coauthVersionLast="47" xr6:coauthVersionMax="47" xr10:uidLastSave="{00000000-0000-0000-0000-000000000000}"/>
  <bookViews>
    <workbookView xWindow="1480" yWindow="1680" windowWidth="27240" windowHeight="16140" xr2:uid="{97CDB276-7024-5449-B902-778262459111}"/>
  </bookViews>
  <sheets>
    <sheet name="3018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B59" i="1"/>
  <c r="C58" i="1"/>
  <c r="B58" i="1"/>
  <c r="C57" i="1"/>
  <c r="B57" i="1"/>
  <c r="C44" i="1"/>
  <c r="B44" i="1"/>
  <c r="D43" i="1"/>
  <c r="C43" i="1"/>
  <c r="B43" i="1"/>
  <c r="C42" i="1"/>
  <c r="B42" i="1"/>
  <c r="D41" i="1"/>
  <c r="D40" i="1"/>
  <c r="D39" i="1"/>
  <c r="D38" i="1"/>
  <c r="D37" i="1"/>
  <c r="D36" i="1"/>
  <c r="D35" i="1"/>
  <c r="D34" i="1"/>
  <c r="D33" i="1"/>
  <c r="D32" i="1"/>
  <c r="D42" i="1" l="1"/>
  <c r="D44" i="1"/>
</calcChain>
</file>

<file path=xl/sharedStrings.xml><?xml version="1.0" encoding="utf-8"?>
<sst xmlns="http://schemas.openxmlformats.org/spreadsheetml/2006/main" count="159" uniqueCount="116">
  <si>
    <t>Species ID:</t>
  </si>
  <si>
    <t>mhCSH</t>
  </si>
  <si>
    <t>Field notes:</t>
  </si>
  <si>
    <t>From field sheet</t>
  </si>
  <si>
    <t>Collector</t>
  </si>
  <si>
    <t>Photo 1</t>
  </si>
  <si>
    <t>Photo 2</t>
  </si>
  <si>
    <t>Photo 3</t>
  </si>
  <si>
    <t>Photo 4</t>
  </si>
  <si>
    <t>Section ID</t>
  </si>
  <si>
    <t>Host tree</t>
  </si>
  <si>
    <t>Coordinates</t>
  </si>
  <si>
    <t>County</t>
  </si>
  <si>
    <t>Site</t>
  </si>
  <si>
    <t>Date</t>
  </si>
  <si>
    <t>Notable plants</t>
  </si>
  <si>
    <t>Michael Hensley</t>
  </si>
  <si>
    <t>DSC06945</t>
  </si>
  <si>
    <t>DSC06943</t>
  </si>
  <si>
    <t>DSC06944</t>
  </si>
  <si>
    <t>DSC06940</t>
  </si>
  <si>
    <t>Validae</t>
  </si>
  <si>
    <t>Picea</t>
  </si>
  <si>
    <t>N/A</t>
  </si>
  <si>
    <t>43.22821, -89.73302</t>
  </si>
  <si>
    <t>Dane</t>
  </si>
  <si>
    <t>Lower Wisconsin State Riverway</t>
  </si>
  <si>
    <t>Macromorphological features:</t>
  </si>
  <si>
    <t>Pileus</t>
  </si>
  <si>
    <t>Diameter (mm)</t>
  </si>
  <si>
    <t>Thickness (mm)</t>
  </si>
  <si>
    <t>Center color</t>
  </si>
  <si>
    <t>Margin color</t>
  </si>
  <si>
    <t>Shape</t>
  </si>
  <si>
    <t>Surface texture</t>
  </si>
  <si>
    <t>Striation length (mm)</t>
  </si>
  <si>
    <t>Appendiculate?</t>
  </si>
  <si>
    <t>Appendiculate material</t>
  </si>
  <si>
    <t>Staining</t>
  </si>
  <si>
    <t>Universal veil</t>
  </si>
  <si>
    <t>Context color</t>
  </si>
  <si>
    <t>light brownish yellow</t>
  </si>
  <si>
    <t>White</t>
  </si>
  <si>
    <t>Plano-convex</t>
  </si>
  <si>
    <t>Glaborous</t>
  </si>
  <si>
    <t>No</t>
  </si>
  <si>
    <t>Absent</t>
  </si>
  <si>
    <t>Universal veil on pileus</t>
  </si>
  <si>
    <t>Form</t>
  </si>
  <si>
    <t>Color</t>
  </si>
  <si>
    <t>Texture</t>
  </si>
  <si>
    <t>Attachment</t>
  </si>
  <si>
    <t>Distribution</t>
  </si>
  <si>
    <t>Lamellae</t>
  </si>
  <si>
    <t>Color in masse</t>
  </si>
  <si>
    <t>Other comment</t>
  </si>
  <si>
    <t>Free</t>
  </si>
  <si>
    <t>Cream</t>
  </si>
  <si>
    <t>Semicrowded</t>
  </si>
  <si>
    <t>no</t>
  </si>
  <si>
    <t>Wrinkling at margin</t>
  </si>
  <si>
    <t>Lamellulae</t>
  </si>
  <si>
    <t>Amount</t>
  </si>
  <si>
    <t>Uneven lengths</t>
  </si>
  <si>
    <t>Plentiful</t>
  </si>
  <si>
    <t>Uneven</t>
  </si>
  <si>
    <t>Stipe</t>
  </si>
  <si>
    <t>Length (mm)</t>
  </si>
  <si>
    <t>Width (mm)</t>
  </si>
  <si>
    <t>Decoration</t>
  </si>
  <si>
    <t>Annulus</t>
  </si>
  <si>
    <t>Context type</t>
  </si>
  <si>
    <t>Context stain</t>
  </si>
  <si>
    <t>Narrowing upward</t>
  </si>
  <si>
    <t>Floccose</t>
  </si>
  <si>
    <t>Present</t>
  </si>
  <si>
    <t>Position (mm)</t>
  </si>
  <si>
    <t>Remaining %</t>
  </si>
  <si>
    <t>Condition</t>
  </si>
  <si>
    <t>Membranous</t>
  </si>
  <si>
    <t>white</t>
  </si>
  <si>
    <t>maybe slight brownish</t>
  </si>
  <si>
    <t>Collapsed against stipe</t>
  </si>
  <si>
    <t>Universal veil on stipe base</t>
  </si>
  <si>
    <t>Type</t>
  </si>
  <si>
    <t>Layered?</t>
  </si>
  <si>
    <t>Tough/flimsy?</t>
  </si>
  <si>
    <t>Saccate</t>
  </si>
  <si>
    <t>Flimsy</t>
  </si>
  <si>
    <t>Basal bulb</t>
  </si>
  <si>
    <t>Subglobose</t>
  </si>
  <si>
    <t>Micromorphological features:</t>
  </si>
  <si>
    <t>GENERAL</t>
  </si>
  <si>
    <t>Basidiospore</t>
  </si>
  <si>
    <t>Length</t>
  </si>
  <si>
    <t>Width</t>
  </si>
  <si>
    <t>Q (length/width)</t>
  </si>
  <si>
    <t>Hyaline?</t>
  </si>
  <si>
    <t>Decoration?</t>
  </si>
  <si>
    <t>Amyloid</t>
  </si>
  <si>
    <t>Avg</t>
  </si>
  <si>
    <t>Min</t>
  </si>
  <si>
    <t>Max</t>
  </si>
  <si>
    <t>Basidia (10x)</t>
  </si>
  <si>
    <t>Sterigma count</t>
  </si>
  <si>
    <t>Clamp connection?</t>
  </si>
  <si>
    <t>Likely clavate</t>
  </si>
  <si>
    <t>Inner tissue of volval remnants on stipe</t>
  </si>
  <si>
    <t>Composition</t>
  </si>
  <si>
    <t>Filamentous hyphae</t>
  </si>
  <si>
    <t>Inflated hyphae</t>
  </si>
  <si>
    <t>Longitudinal</t>
  </si>
  <si>
    <t>Dominant</t>
  </si>
  <si>
    <t>None</t>
  </si>
  <si>
    <t>Clamp connections</t>
  </si>
  <si>
    <t>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</si>
</sst>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2" borderId="0" xfId="0" applyFill="1"/>
    <xf numFmtId="0" fontId="1" fillId="2" borderId="0" xfId="0" applyFont="1" applyFill="1"/>
    <xf numFmtId="14" fontId="0" fillId="0" borderId="0" xfId="0" applyNumberFormat="1"/>
    <xf numFmtId="0" fontId="4" fillId="2" borderId="0" xfId="0" applyFont="1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777875</xdr:colOff>
      <xdr:row>1</xdr:row>
      <xdr:rowOff>22224</xdr:rowOff>
    </xdr:from>
    <xdr:to>
      <xdr:col>8</xdr:col>
      <xdr:colOff>126782</xdr:colOff>
      <xdr:row>7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29E81F-7E64-244C-AD6C-FE482A8EE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9975" y="390524"/>
          <a:ext cx="3933607" cy="234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1</xdr:row>
      <xdr:rowOff>31749</xdr:rowOff>
    </xdr:from>
    <xdr:to>
      <xdr:col>4</xdr:col>
      <xdr:colOff>665943</xdr:colOff>
      <xdr:row>7</xdr:row>
      <xdr:rowOff>155574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CA39D4-E2DE-FF4F-BA76-AB5675B1C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5200" y="400049"/>
          <a:ext cx="3802843" cy="2333625"/>
        </a:xfrm>
        <a:prstGeom prst="rect">
          <a:avLst/>
        </a:prstGeom>
      </xdr:spPr>
    </xdr:pic>
    <xdr:clientData/>
  </xdr:twoCellAnchor>
  <xdr:twoCellAnchor editAs="oneCell">
    <xdr:from>
      <xdr:col>8</xdr:col>
      <xdr:colOff>158750</xdr:colOff>
      <xdr:row>1</xdr:row>
      <xdr:rowOff>28575</xdr:rowOff>
    </xdr:from>
    <xdr:to>
      <xdr:col>11</xdr:col>
      <xdr:colOff>436149</xdr:colOff>
      <xdr:row>7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DD9F91-6FF7-E94C-B830-461570BFC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5550" y="396875"/>
          <a:ext cx="3820699" cy="2333625"/>
        </a:xfrm>
        <a:prstGeom prst="rect">
          <a:avLst/>
        </a:prstGeom>
      </xdr:spPr>
    </xdr:pic>
    <xdr:clientData/>
  </xdr:twoCellAnchor>
  <xdr:twoCellAnchor editAs="oneCell">
    <xdr:from>
      <xdr:col>11</xdr:col>
      <xdr:colOff>523875</xdr:colOff>
      <xdr:row>1</xdr:row>
      <xdr:rowOff>28575</xdr:rowOff>
    </xdr:from>
    <xdr:to>
      <xdr:col>16</xdr:col>
      <xdr:colOff>435604</xdr:colOff>
      <xdr:row>7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F4F8A5-7D2B-9143-89C0-402D64471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23975" y="396875"/>
          <a:ext cx="3823329" cy="2295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477C-24D4-2347-A60C-95671A6A884F}">
  <dimension ref="A1:O63"/>
  <sheetViews>
    <sheetView tabSelected="1" zoomScale="144" zoomScaleNormal="144" workbookViewId="0">
      <selection activeCell="A2" sqref="A2"/>
    </sheetView>
  </sheetViews>
  <sheetFormatPr baseColWidth="10" defaultColWidth="8.83203125" defaultRowHeight="15" x14ac:dyDescent="0.2"/>
  <cols>
    <col min="1" max="1" width="27.5" style="3" customWidth="1"/>
    <col min="2" max="2" width="15.1640625" customWidth="1"/>
    <col min="3" max="3" width="16.1640625" customWidth="1"/>
    <col min="4" max="4" width="11.6640625" customWidth="1"/>
    <col min="5" max="5" width="14.83203125" customWidth="1"/>
    <col min="6" max="6" width="13.83203125" customWidth="1"/>
    <col min="7" max="7" width="13" customWidth="1"/>
    <col min="8" max="8" width="18.5" customWidth="1"/>
    <col min="9" max="9" width="14.1640625" customWidth="1"/>
    <col min="10" max="10" width="20.5" customWidth="1"/>
    <col min="11" max="11" width="11.83203125" customWidth="1"/>
    <col min="12" max="12" width="12" customWidth="1"/>
    <col min="13" max="13" width="12.5" customWidth="1"/>
    <col min="14" max="14" width="9.1640625" bestFit="1" customWidth="1"/>
  </cols>
  <sheetData>
    <row r="1" spans="1:15" ht="29.5" customHeight="1" x14ac:dyDescent="0.3">
      <c r="A1" s="1">
        <v>30181</v>
      </c>
      <c r="B1" t="s">
        <v>0</v>
      </c>
      <c r="C1" s="2"/>
    </row>
    <row r="2" spans="1:15" ht="29.5" customHeight="1" x14ac:dyDescent="0.3">
      <c r="A2" s="1" t="s">
        <v>1</v>
      </c>
      <c r="C2" s="2"/>
    </row>
    <row r="3" spans="1:15" ht="29.5" customHeight="1" x14ac:dyDescent="0.2">
      <c r="C3" s="2"/>
    </row>
    <row r="4" spans="1:15" ht="29.5" customHeight="1" x14ac:dyDescent="0.3">
      <c r="A4" s="1"/>
      <c r="C4" s="2"/>
    </row>
    <row r="5" spans="1:15" ht="29.5" customHeight="1" x14ac:dyDescent="0.3">
      <c r="A5" s="1"/>
      <c r="C5" s="2"/>
    </row>
    <row r="6" spans="1:15" ht="29.5" customHeight="1" x14ac:dyDescent="0.3">
      <c r="A6" s="1"/>
      <c r="C6" s="2"/>
    </row>
    <row r="7" spans="1:15" ht="29.5" customHeight="1" x14ac:dyDescent="0.3">
      <c r="A7" s="1"/>
      <c r="C7" s="2"/>
    </row>
    <row r="8" spans="1:15" ht="16" x14ac:dyDescent="0.2">
      <c r="A8" s="4" t="s">
        <v>2</v>
      </c>
    </row>
    <row r="9" spans="1:15" s="3" customFormat="1" x14ac:dyDescent="0.2">
      <c r="A9" s="3" t="s">
        <v>3</v>
      </c>
      <c r="B9" s="3" t="s">
        <v>4</v>
      </c>
      <c r="C9" s="3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10</v>
      </c>
      <c r="I9" s="3" t="s">
        <v>10</v>
      </c>
      <c r="J9" s="3" t="s">
        <v>10</v>
      </c>
      <c r="K9" s="3" t="s">
        <v>11</v>
      </c>
      <c r="L9" s="3" t="s">
        <v>12</v>
      </c>
      <c r="M9" s="3" t="s">
        <v>13</v>
      </c>
      <c r="N9" s="3" t="s">
        <v>14</v>
      </c>
      <c r="O9" s="3" t="s">
        <v>15</v>
      </c>
    </row>
    <row r="10" spans="1:15" x14ac:dyDescent="0.2"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23</v>
      </c>
      <c r="K10" t="s">
        <v>24</v>
      </c>
      <c r="L10" t="s">
        <v>25</v>
      </c>
      <c r="M10" t="s">
        <v>26</v>
      </c>
      <c r="N10" s="5">
        <v>45529</v>
      </c>
    </row>
    <row r="11" spans="1:15" ht="16" x14ac:dyDescent="0.2">
      <c r="A11" s="4" t="s">
        <v>27</v>
      </c>
    </row>
    <row r="12" spans="1:15" s="3" customFormat="1" x14ac:dyDescent="0.2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35</v>
      </c>
      <c r="I12" s="3" t="s">
        <v>36</v>
      </c>
      <c r="J12" s="3" t="s">
        <v>37</v>
      </c>
      <c r="K12" s="3" t="s">
        <v>38</v>
      </c>
      <c r="L12" s="3" t="s">
        <v>39</v>
      </c>
      <c r="M12" s="3" t="s">
        <v>40</v>
      </c>
    </row>
    <row r="13" spans="1:15" x14ac:dyDescent="0.2">
      <c r="B13">
        <v>52</v>
      </c>
      <c r="C13">
        <v>4</v>
      </c>
      <c r="D13" t="s">
        <v>41</v>
      </c>
      <c r="E13" t="s">
        <v>42</v>
      </c>
      <c r="F13" t="s">
        <v>43</v>
      </c>
      <c r="G13" t="s">
        <v>44</v>
      </c>
      <c r="H13" t="s">
        <v>23</v>
      </c>
      <c r="I13" t="s">
        <v>45</v>
      </c>
      <c r="J13" t="s">
        <v>23</v>
      </c>
      <c r="K13" t="s">
        <v>45</v>
      </c>
      <c r="L13" t="s">
        <v>46</v>
      </c>
      <c r="M13" t="s">
        <v>42</v>
      </c>
    </row>
    <row r="14" spans="1:15" s="3" customFormat="1" x14ac:dyDescent="0.2">
      <c r="A14" s="3" t="s">
        <v>47</v>
      </c>
      <c r="B14" s="3" t="s">
        <v>48</v>
      </c>
      <c r="C14" s="3" t="s">
        <v>49</v>
      </c>
      <c r="D14" s="3" t="s">
        <v>50</v>
      </c>
      <c r="E14" s="3" t="s">
        <v>51</v>
      </c>
      <c r="F14" s="3" t="s">
        <v>52</v>
      </c>
    </row>
    <row r="15" spans="1:15" x14ac:dyDescent="0.2">
      <c r="B15" t="s">
        <v>23</v>
      </c>
      <c r="C15" t="s">
        <v>23</v>
      </c>
      <c r="D15" t="s">
        <v>23</v>
      </c>
      <c r="E15" t="s">
        <v>23</v>
      </c>
      <c r="F15" t="s">
        <v>23</v>
      </c>
    </row>
    <row r="16" spans="1:15" s="3" customFormat="1" x14ac:dyDescent="0.2">
      <c r="A16" s="3" t="s">
        <v>53</v>
      </c>
      <c r="B16" s="3" t="s">
        <v>51</v>
      </c>
      <c r="C16" s="3" t="s">
        <v>54</v>
      </c>
      <c r="D16" s="3" t="s">
        <v>52</v>
      </c>
      <c r="E16" s="3" t="s">
        <v>38</v>
      </c>
      <c r="F16" s="3" t="s">
        <v>55</v>
      </c>
    </row>
    <row r="17" spans="1:12" x14ac:dyDescent="0.2">
      <c r="B17" t="s">
        <v>56</v>
      </c>
      <c r="C17" t="s">
        <v>57</v>
      </c>
      <c r="D17" t="s">
        <v>58</v>
      </c>
      <c r="E17" t="s">
        <v>59</v>
      </c>
      <c r="F17" t="s">
        <v>60</v>
      </c>
    </row>
    <row r="18" spans="1:12" s="3" customFormat="1" x14ac:dyDescent="0.2">
      <c r="A18" s="3" t="s">
        <v>61</v>
      </c>
      <c r="B18" s="3" t="s">
        <v>48</v>
      </c>
      <c r="C18" s="3" t="s">
        <v>62</v>
      </c>
      <c r="D18" s="3" t="s">
        <v>52</v>
      </c>
    </row>
    <row r="19" spans="1:12" x14ac:dyDescent="0.2">
      <c r="B19" t="s">
        <v>63</v>
      </c>
      <c r="C19" t="s">
        <v>64</v>
      </c>
      <c r="D19" t="s">
        <v>65</v>
      </c>
    </row>
    <row r="20" spans="1:12" s="3" customFormat="1" x14ac:dyDescent="0.2">
      <c r="A20" s="3" t="s">
        <v>66</v>
      </c>
      <c r="B20" s="3" t="s">
        <v>67</v>
      </c>
      <c r="C20" s="3" t="s">
        <v>68</v>
      </c>
      <c r="D20" s="3" t="s">
        <v>49</v>
      </c>
      <c r="E20" s="3" t="s">
        <v>33</v>
      </c>
      <c r="F20" s="3" t="s">
        <v>69</v>
      </c>
      <c r="G20" s="3" t="s">
        <v>38</v>
      </c>
      <c r="H20" s="3" t="s">
        <v>70</v>
      </c>
      <c r="I20" s="3" t="s">
        <v>39</v>
      </c>
      <c r="J20" s="3" t="s">
        <v>71</v>
      </c>
      <c r="K20" s="3" t="s">
        <v>40</v>
      </c>
      <c r="L20" s="3" t="s">
        <v>72</v>
      </c>
    </row>
    <row r="21" spans="1:12" x14ac:dyDescent="0.2">
      <c r="B21">
        <v>93</v>
      </c>
      <c r="C21">
        <v>21</v>
      </c>
      <c r="D21" t="s">
        <v>42</v>
      </c>
      <c r="E21" t="s">
        <v>73</v>
      </c>
      <c r="F21" t="s">
        <v>74</v>
      </c>
      <c r="H21" t="s">
        <v>75</v>
      </c>
      <c r="I21" t="s">
        <v>46</v>
      </c>
    </row>
    <row r="22" spans="1:12" s="3" customFormat="1" x14ac:dyDescent="0.2">
      <c r="A22" s="3" t="s">
        <v>70</v>
      </c>
      <c r="B22" s="3" t="s">
        <v>76</v>
      </c>
      <c r="C22" s="3" t="s">
        <v>48</v>
      </c>
      <c r="D22" s="3" t="s">
        <v>49</v>
      </c>
      <c r="E22" s="3" t="s">
        <v>38</v>
      </c>
      <c r="F22" s="3" t="s">
        <v>77</v>
      </c>
      <c r="G22" s="3" t="s">
        <v>78</v>
      </c>
    </row>
    <row r="23" spans="1:12" x14ac:dyDescent="0.2">
      <c r="B23">
        <v>20</v>
      </c>
      <c r="C23" t="s">
        <v>79</v>
      </c>
      <c r="D23" t="s">
        <v>80</v>
      </c>
      <c r="E23" t="s">
        <v>81</v>
      </c>
      <c r="F23">
        <v>100</v>
      </c>
      <c r="G23" t="s">
        <v>82</v>
      </c>
    </row>
    <row r="24" spans="1:12" s="3" customFormat="1" x14ac:dyDescent="0.2">
      <c r="A24" s="3" t="s">
        <v>83</v>
      </c>
      <c r="B24" s="3" t="s">
        <v>84</v>
      </c>
      <c r="C24" s="3" t="s">
        <v>50</v>
      </c>
      <c r="D24" s="3" t="s">
        <v>49</v>
      </c>
      <c r="E24" s="3" t="s">
        <v>85</v>
      </c>
      <c r="F24" s="3" t="s">
        <v>86</v>
      </c>
    </row>
    <row r="25" spans="1:12" x14ac:dyDescent="0.2">
      <c r="B25" t="s">
        <v>87</v>
      </c>
      <c r="C25" t="s">
        <v>79</v>
      </c>
      <c r="D25" t="s">
        <v>42</v>
      </c>
      <c r="E25" t="s">
        <v>59</v>
      </c>
      <c r="F25" t="s">
        <v>88</v>
      </c>
    </row>
    <row r="26" spans="1:12" s="3" customFormat="1" x14ac:dyDescent="0.2">
      <c r="A26" s="3" t="s">
        <v>89</v>
      </c>
      <c r="B26" s="3" t="s">
        <v>67</v>
      </c>
      <c r="C26" s="3" t="s">
        <v>68</v>
      </c>
      <c r="D26" s="3" t="s">
        <v>33</v>
      </c>
    </row>
    <row r="27" spans="1:12" x14ac:dyDescent="0.2">
      <c r="B27">
        <v>13</v>
      </c>
      <c r="C27">
        <v>11</v>
      </c>
      <c r="D27" t="s">
        <v>90</v>
      </c>
    </row>
    <row r="29" spans="1:12" x14ac:dyDescent="0.2">
      <c r="A29" s="6" t="s">
        <v>91</v>
      </c>
    </row>
    <row r="30" spans="1:12" x14ac:dyDescent="0.2">
      <c r="A30" s="6" t="s">
        <v>92</v>
      </c>
    </row>
    <row r="31" spans="1:12" x14ac:dyDescent="0.2">
      <c r="A31" s="3" t="s">
        <v>93</v>
      </c>
      <c r="B31" s="3" t="s">
        <v>94</v>
      </c>
      <c r="C31" s="3" t="s">
        <v>95</v>
      </c>
      <c r="D31" s="3" t="s">
        <v>96</v>
      </c>
      <c r="E31" s="3" t="s">
        <v>97</v>
      </c>
      <c r="F31" s="3" t="s">
        <v>98</v>
      </c>
      <c r="G31" s="3" t="s">
        <v>99</v>
      </c>
      <c r="H31" s="3" t="s">
        <v>33</v>
      </c>
      <c r="I31" s="3"/>
    </row>
    <row r="32" spans="1:12" x14ac:dyDescent="0.2">
      <c r="A32" s="3">
        <v>1</v>
      </c>
      <c r="D32" t="e">
        <f>($B32/$C32)</f>
        <v>#DIV/0!</v>
      </c>
    </row>
    <row r="33" spans="1:9" x14ac:dyDescent="0.2">
      <c r="A33" s="3">
        <v>2</v>
      </c>
      <c r="D33" t="e">
        <f t="shared" ref="D33:D41" si="0">($B33/$C33)</f>
        <v>#DIV/0!</v>
      </c>
    </row>
    <row r="34" spans="1:9" x14ac:dyDescent="0.2">
      <c r="A34" s="3">
        <v>3</v>
      </c>
      <c r="D34" t="e">
        <f t="shared" si="0"/>
        <v>#DIV/0!</v>
      </c>
    </row>
    <row r="35" spans="1:9" x14ac:dyDescent="0.2">
      <c r="A35" s="3">
        <v>4</v>
      </c>
      <c r="D35" t="e">
        <f t="shared" si="0"/>
        <v>#DIV/0!</v>
      </c>
    </row>
    <row r="36" spans="1:9" x14ac:dyDescent="0.2">
      <c r="A36" s="3">
        <v>5</v>
      </c>
      <c r="D36" t="e">
        <f t="shared" si="0"/>
        <v>#DIV/0!</v>
      </c>
    </row>
    <row r="37" spans="1:9" x14ac:dyDescent="0.2">
      <c r="A37" s="3">
        <v>6</v>
      </c>
      <c r="D37" t="e">
        <f t="shared" si="0"/>
        <v>#DIV/0!</v>
      </c>
    </row>
    <row r="38" spans="1:9" x14ac:dyDescent="0.2">
      <c r="A38" s="3">
        <v>7</v>
      </c>
      <c r="D38" t="e">
        <f t="shared" si="0"/>
        <v>#DIV/0!</v>
      </c>
    </row>
    <row r="39" spans="1:9" x14ac:dyDescent="0.2">
      <c r="A39" s="3">
        <v>8</v>
      </c>
      <c r="D39" t="e">
        <f t="shared" si="0"/>
        <v>#DIV/0!</v>
      </c>
    </row>
    <row r="40" spans="1:9" x14ac:dyDescent="0.2">
      <c r="A40" s="3">
        <v>9</v>
      </c>
      <c r="D40" t="e">
        <f t="shared" si="0"/>
        <v>#DIV/0!</v>
      </c>
    </row>
    <row r="41" spans="1:9" x14ac:dyDescent="0.2">
      <c r="A41" s="3">
        <v>10</v>
      </c>
      <c r="D41" t="e">
        <f t="shared" si="0"/>
        <v>#DIV/0!</v>
      </c>
    </row>
    <row r="42" spans="1:9" x14ac:dyDescent="0.2">
      <c r="A42" s="7" t="s">
        <v>100</v>
      </c>
      <c r="B42" t="e">
        <f>AVERAGE(B32:B41)</f>
        <v>#DIV/0!</v>
      </c>
      <c r="C42" t="e">
        <f>AVERAGE(C32:C41)</f>
        <v>#DIV/0!</v>
      </c>
      <c r="D42" t="e">
        <f>AVERAGE(D32:D41)</f>
        <v>#DIV/0!</v>
      </c>
    </row>
    <row r="43" spans="1:9" x14ac:dyDescent="0.2">
      <c r="A43" s="7" t="s">
        <v>101</v>
      </c>
      <c r="B43">
        <f>MIN(B32:B41)</f>
        <v>0</v>
      </c>
      <c r="C43">
        <f>MIN(C32:C41)</f>
        <v>0</v>
      </c>
      <c r="D43" t="e">
        <f>MIN(D32:D41)</f>
        <v>#DIV/0!</v>
      </c>
    </row>
    <row r="44" spans="1:9" x14ac:dyDescent="0.2">
      <c r="A44" s="7" t="s">
        <v>102</v>
      </c>
      <c r="B44">
        <f>MAX(B32:B41)</f>
        <v>0</v>
      </c>
      <c r="C44">
        <f>MAX(C32:C41)</f>
        <v>0</v>
      </c>
      <c r="D44" t="e">
        <f>MAX(D32:D41)</f>
        <v>#DIV/0!</v>
      </c>
    </row>
    <row r="46" spans="1:9" x14ac:dyDescent="0.2">
      <c r="A46" s="3" t="s">
        <v>103</v>
      </c>
      <c r="B46" s="3" t="s">
        <v>94</v>
      </c>
      <c r="C46" s="3" t="s">
        <v>95</v>
      </c>
      <c r="D46" s="3" t="s">
        <v>104</v>
      </c>
      <c r="E46" s="3" t="s">
        <v>33</v>
      </c>
      <c r="F46" s="3" t="s">
        <v>105</v>
      </c>
      <c r="G46" s="3"/>
      <c r="H46" s="3"/>
      <c r="I46" s="3"/>
    </row>
    <row r="47" spans="1:9" x14ac:dyDescent="0.2">
      <c r="A47" s="3">
        <v>1</v>
      </c>
      <c r="E47" t="s">
        <v>106</v>
      </c>
    </row>
    <row r="48" spans="1:9" x14ac:dyDescent="0.2">
      <c r="A48" s="3">
        <v>2</v>
      </c>
    </row>
    <row r="49" spans="1:4" x14ac:dyDescent="0.2">
      <c r="A49" s="3">
        <v>3</v>
      </c>
    </row>
    <row r="50" spans="1:4" x14ac:dyDescent="0.2">
      <c r="A50" s="3">
        <v>4</v>
      </c>
    </row>
    <row r="51" spans="1:4" x14ac:dyDescent="0.2">
      <c r="A51" s="3">
        <v>5</v>
      </c>
    </row>
    <row r="52" spans="1:4" x14ac:dyDescent="0.2">
      <c r="A52" s="3">
        <v>6</v>
      </c>
    </row>
    <row r="53" spans="1:4" x14ac:dyDescent="0.2">
      <c r="A53" s="3">
        <v>7</v>
      </c>
    </row>
    <row r="54" spans="1:4" x14ac:dyDescent="0.2">
      <c r="A54" s="3">
        <v>8</v>
      </c>
    </row>
    <row r="55" spans="1:4" x14ac:dyDescent="0.2">
      <c r="A55" s="3">
        <v>9</v>
      </c>
    </row>
    <row r="56" spans="1:4" x14ac:dyDescent="0.2">
      <c r="A56" s="3">
        <v>10</v>
      </c>
    </row>
    <row r="57" spans="1:4" x14ac:dyDescent="0.2">
      <c r="A57" s="7" t="s">
        <v>100</v>
      </c>
      <c r="B57" t="e">
        <f>AVERAGE(B47:B56)</f>
        <v>#DIV/0!</v>
      </c>
      <c r="C57" t="e">
        <f>AVERAGE(C47:C56)</f>
        <v>#DIV/0!</v>
      </c>
    </row>
    <row r="58" spans="1:4" x14ac:dyDescent="0.2">
      <c r="A58" s="7" t="s">
        <v>101</v>
      </c>
      <c r="B58">
        <f>MIN(B47:B56)</f>
        <v>0</v>
      </c>
      <c r="C58">
        <f>MIN(C47:C56)</f>
        <v>0</v>
      </c>
    </row>
    <row r="59" spans="1:4" x14ac:dyDescent="0.2">
      <c r="A59" s="7" t="s">
        <v>102</v>
      </c>
      <c r="B59">
        <f>MAX(B47:B56)</f>
        <v>0</v>
      </c>
      <c r="C59">
        <f>MAX(C47:C56)</f>
        <v>0</v>
      </c>
    </row>
    <row r="61" spans="1:4" x14ac:dyDescent="0.2">
      <c r="A61" s="3" t="s">
        <v>107</v>
      </c>
      <c r="B61" t="s">
        <v>108</v>
      </c>
      <c r="C61" t="s">
        <v>109</v>
      </c>
      <c r="D61" t="s">
        <v>110</v>
      </c>
    </row>
    <row r="62" spans="1:4" x14ac:dyDescent="0.2">
      <c r="B62" t="s">
        <v>111</v>
      </c>
      <c r="C62" t="s">
        <v>112</v>
      </c>
      <c r="D62" t="s">
        <v>113</v>
      </c>
    </row>
    <row r="63" spans="1:4" x14ac:dyDescent="0.2">
      <c r="A63" s="3" t="s">
        <v>114</v>
      </c>
      <c r="B63" t="s">
        <v>115</v>
      </c>
    </row>
  </sheetData>
  <dataValidations count="18">
    <dataValidation type="list" allowBlank="1" showInputMessage="1" showErrorMessage="1" sqref="B62" xr:uid="{E9EBC812-0A97-5C4A-ABB6-D8F39C8C7FE4}">
      <formula1>"Longitudinal, random"</formula1>
    </dataValidation>
    <dataValidation type="list" allowBlank="1" showInputMessage="1" showErrorMessage="1" sqref="C64:D64 C62:D62" xr:uid="{516D5218-B0CB-2D44-8A61-9F4167041809}">
      <formula1>"Dominant, Abundant, Common, Scarce, None"</formula1>
    </dataValidation>
    <dataValidation type="list" allowBlank="1" showInputMessage="1" showErrorMessage="1" sqref="H32:H44" xr:uid="{EB92DD4F-9D4B-5B4F-82DB-23C8EBC06309}">
      <formula1>"Globose, Subglobose, Elliptic, Broadly elliptic, Elongate"</formula1>
    </dataValidation>
    <dataValidation type="list" allowBlank="1" showInputMessage="1" showErrorMessage="1" sqref="G32:G44" xr:uid="{320D0889-B738-374A-8623-2D2A47255661}">
      <formula1>"amyloid, inamyloid"</formula1>
    </dataValidation>
    <dataValidation type="list" allowBlank="1" showInputMessage="1" showErrorMessage="1" sqref="F47" xr:uid="{119CB0D9-B5B9-A049-9465-957E529D00E0}">
      <formula1>"present, not observed"</formula1>
    </dataValidation>
    <dataValidation type="list" allowBlank="1" showInputMessage="1" showErrorMessage="1" sqref="L13" xr:uid="{26F58888-96E7-D641-A7B7-244586BEC464}">
      <formula1>"Present, Absent"</formula1>
    </dataValidation>
    <dataValidation type="list" allowBlank="1" showInputMessage="1" showErrorMessage="1" sqref="B17" xr:uid="{3661FE53-0861-C449-988B-E84534B0DC32}">
      <formula1>"Free, Adnate, Narrowly adnate"</formula1>
    </dataValidation>
    <dataValidation type="list" allowBlank="1" showInputMessage="1" showErrorMessage="1" sqref="E21" xr:uid="{EBB72E6E-6DE4-1E4A-9D49-2F20A1BB3C18}">
      <formula1>"Cylindrical, Narrowing upward, Narrowing downward, Other"</formula1>
    </dataValidation>
    <dataValidation type="list" allowBlank="1" showInputMessage="1" showErrorMessage="1" sqref="J21" xr:uid="{857F0F74-2224-EE4D-90ED-E40790CDB4B1}">
      <formula1>"Hollow, Stuffed, Solid"</formula1>
    </dataValidation>
    <dataValidation type="list" allowBlank="1" showInputMessage="1" showErrorMessage="1" sqref="B25" xr:uid="{3C6014EF-AAF0-D542-B480-02BAE9F2BCC4}">
      <formula1>"Saccate, Limbate, Collared, Broken collared, Loose patches, In warts, Not evident"</formula1>
    </dataValidation>
    <dataValidation type="list" allowBlank="1" showInputMessage="1" showErrorMessage="1" sqref="D27" xr:uid="{9C2FCF06-9AD6-EA4A-884B-22A775B064E8}">
      <formula1>"Globose, Subglobose, Ovoid, Fusiform, Napiform, Rooting, Turbinate, Carrot-shaped, No bulb"</formula1>
    </dataValidation>
    <dataValidation type="list" allowBlank="1" showInputMessage="1" showErrorMessage="1" sqref="F13" xr:uid="{DE1E69AE-FAAA-4746-844E-4EAB723B1DAF}">
      <formula1>"Campanulate, Convex, Plano-convex, Planar, Plano-concave, Concave"</formula1>
    </dataValidation>
    <dataValidation type="list" allowBlank="1" showInputMessage="1" showErrorMessage="1" sqref="B19" xr:uid="{018518F4-1FB8-3745-844D-B4E03F8E3CE1}">
      <formula1>"1 length, 2 lengths, Uneven lengths, N/A"</formula1>
    </dataValidation>
    <dataValidation type="list" allowBlank="1" showInputMessage="1" showErrorMessage="1" sqref="C19" xr:uid="{7F4DA27B-9C3E-CB4A-B645-4D86DFD8B3BB}">
      <formula1>"Plentiful, Dispersed, Uncommon, None"</formula1>
    </dataValidation>
    <dataValidation type="list" allowBlank="1" showInputMessage="1" showErrorMessage="1" sqref="B15" xr:uid="{8C8810E7-7BB9-AF45-BFDA-292B80EA8D58}">
      <formula1>"Warts, Patches, Scales, Powder, N/A"</formula1>
    </dataValidation>
    <dataValidation type="list" allowBlank="1" showInputMessage="1" showErrorMessage="1" sqref="G13" xr:uid="{21CAF029-7CD4-C94E-A245-C3FF21750266}">
      <formula1>"Fibrillose, Glaborous, Silky, Viscid, Dry, Wrinkly"</formula1>
    </dataValidation>
    <dataValidation type="list" allowBlank="1" showInputMessage="1" showErrorMessage="1" sqref="D19" xr:uid="{19AF9108-64D4-E04A-9CEF-D00D2F8D1761}">
      <formula1>"Uneven, Even, N/A"</formula1>
    </dataValidation>
    <dataValidation type="list" allowBlank="1" showInputMessage="1" showErrorMessage="1" sqref="G23" xr:uid="{9A328597-17C1-D44B-82C3-0B6AB5185A69}">
      <formula1>"Collapsed against stipe, Free standing, N/A"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30181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Hensley</dc:creator>
  <cp:lastModifiedBy>Michael Hensley</cp:lastModifiedBy>
  <dcterms:created xsi:type="dcterms:W3CDTF">2025-12-29T23:33:14Z</dcterms:created>
  <dcterms:modified xsi:type="dcterms:W3CDTF">2025-12-29T23:33:34Z</dcterms:modified>
</cp:coreProperties>
</file>